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554ef3b174c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us" sheetId="1" r:id="R480cc335d8384f79"/>
    <x:sheet xmlns:r="http://schemas.openxmlformats.org/officeDocument/2006/relationships" name="Issues" sheetId="2" r:id="R14bc36a2557d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sz val="16"/>
      <x:name val="Arial"/>
    </x:font>
    <x:font>
      <x:b/>
      <x:sz val="16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A5F"/>
      </x:patternFill>
    </x:fill>
    <x:fill>
      <x:patternFill patternType="solid">
        <x:fgColor rgb="FFE9EF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0" fontId="7" fillId="3" borderId="0" xfId="0" applyNumberFormat="1" applyFont="1" applyFill="1" applyBorder="1"/>
    <x:xf numFmtId="200" fontId="7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90dec11742431b" /><Relationship Type="http://schemas.openxmlformats.org/officeDocument/2006/relationships/theme" Target="/xl/theme/theme1.xml" Id="R42191f3ed38e4414" /><Relationship Type="http://schemas.openxmlformats.org/officeDocument/2006/relationships/sharedStrings" Target="/xl/sharedStrings.xml" Id="Re8f9c32b54aa4abe" /><Relationship Type="http://schemas.openxmlformats.org/officeDocument/2006/relationships/worksheet" Target="/xl/worksheets/sheet1.xml" Id="R480cc335d8384f79" /><Relationship Type="http://schemas.openxmlformats.org/officeDocument/2006/relationships/worksheet" Target="/xl/worksheets/sheet2.xml" Id="R14bc36a2557d43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82ca80cd454e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Story status (administration exercise)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Count</c:v>
          </c:tx>
          <c:invertIfNegative val="0"/>
          <c:cat>
            <c:strRef>
              <c:f>'Status'!$A$16:$A$19</c:f>
              <c:strCache>
                <c:ptCount val="0"/>
              </c:strCache>
            </c:strRef>
          </c:cat>
          <c:val>
            <c:numRef>
              <c:f>'Status'!$B$16:$B$19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82ca80cd454e9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iraIssues" displayName="JiraIssues" ref="A4:K47" headerRowCount="1" totalsRowCount="0" totalsRowShown="0">
  <x:tableColumns count="11">
    <x:tableColumn id="1" name="Key"/>
    <x:tableColumn id="2" name="Issue type"/>
    <x:tableColumn id="3" name="Summary"/>
    <x:tableColumn id="4" name="Status"/>
    <x:tableColumn id="5" name="Epic"/>
    <x:tableColumn id="6" name="Requirement ID"/>
    <x:tableColumn id="7" name="Risk rating"/>
    <x:tableColumn id="8" name="Labels"/>
    <x:tableColumn id="9" name="Assignee"/>
    <x:tableColumn id="10" name="Updated"/>
    <x:tableColumn id="11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719b04ee79a41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5536d34e9745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13" hidden="0" customWidth="1"/>
    <x:col min="4" max="4" width="24" hidden="0" customWidth="1"/>
    <x:col min="5" max="5" width="13" hidden="0" customWidth="1"/>
    <x:col min="6" max="6" width="13" hidden="0" customWidth="1"/>
    <x:col min="7" max="7" width="12" hidden="0" customWidth="1"/>
    <x:col min="8" max="8" width="1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9" t="str">
        <x:v>IT rollout | Jira status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 t="str">
        <x:v>Fictional case study run in a real Jira site. Status changes are administration exercises.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 t="str">
        <x:v>Captured 2026-10-22T10:04:25.282669+00:00 | No business-user UAT or production completion claimed.</x:v>
      </x:c>
      <x:c r="B4" s="2"/>
      <x:c r="C4" s="2"/>
      <x:c r="D4" s="2"/>
      <x:c r="E4" s="2"/>
      <x:c r="F4" s="2"/>
      <x:c r="G4" s="2"/>
      <x:c r="H4" s="2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25" customHeight="1">
      <x:c r="A6" s="13" t="str">
        <x:v>Epic</x:v>
      </x:c>
      <x:c r="B6" s="13" t="str">
        <x:v>Stories</x:v>
      </x:c>
      <x:c r="C6" s="13" t="str">
        <x:v>To Do</x:v>
      </x:c>
      <x:c r="D6" s="13" t="str">
        <x:v>In Progress</x:v>
      </x:c>
      <x:c r="E6" s="13" t="str">
        <x:v>In UAT</x:v>
      </x:c>
      <x:c r="F6" s="13" t="str">
        <x:v>Done</x:v>
      </x:c>
      <x:c r="G6" s="13" t="str">
        <x:v>Done %</x:v>
      </x:c>
      <x:c r="H6" s="13" t="str">
        <x:v>Jira epic</x:v>
      </x:c>
    </x:row>
    <x:row r="7" ht="25" customHeight="1">
      <x:c r="A7" s="2" t="str">
        <x:v>Files</x:v>
      </x:c>
      <x:c r="B7" s="2" t="n">
        <x:f>COUNTIFS(Issues!$B$5:$B$47,"Story",Issues!$E$5:$E$47,H7)</x:f>
        <x:v>5</x:v>
      </x:c>
      <x:c r="C7" s="2" t="n">
        <x:f>COUNTIFS(Issues!$B$5:$B$47,"Story",Issues!$E$5:$E$47,H7,Issues!$D$5:$D$47,"To Do")</x:f>
        <x:v>5</x:v>
      </x:c>
      <x:c r="D7" s="2" t="n">
        <x:f>COUNTIFS(Issues!$B$5:$B$47,"Story",Issues!$E$5:$E$47,H7,Issues!$D$5:$D$47,"In Progress")</x:f>
        <x:v>0</x:v>
      </x:c>
      <x:c r="E7" s="2" t="n">
        <x:f>COUNTIFS(Issues!$B$5:$B$47,"Story",Issues!$E$5:$E$47,H7,Issues!$D$5:$D$47,"In UAT")</x:f>
        <x:v>0</x:v>
      </x:c>
      <x:c r="F7" s="2" t="n">
        <x:f>COUNTIFS(Issues!$B$5:$B$47,"Story",Issues!$E$5:$E$47,H7,Issues!$D$5:$D$47,"Done")</x:f>
        <x:v>0</x:v>
      </x:c>
      <x:c r="G7" s="7" t="n">
        <x:f>IF(B7=0,0,F7/B7)</x:f>
        <x:v>0</x:v>
      </x:c>
      <x:c r="H7" s="2" t="str">
        <x:v>ITROLL-1</x:v>
      </x:c>
    </x:row>
    <x:row r="8" ht="25" customHeight="1">
      <x:c r="A8" s="2" t="str">
        <x:v>Identity</x:v>
      </x:c>
      <x:c r="B8" s="2" t="n">
        <x:f>COUNTIFS(Issues!$B$5:$B$47,"Story",Issues!$E$5:$E$47,H8)</x:f>
        <x:v>9</x:v>
      </x:c>
      <x:c r="C8" s="2" t="n">
        <x:f>COUNTIFS(Issues!$B$5:$B$47,"Story",Issues!$E$5:$E$47,H8,Issues!$D$5:$D$47,"To Do")</x:f>
        <x:v>7</x:v>
      </x:c>
      <x:c r="D8" s="2" t="n">
        <x:f>COUNTIFS(Issues!$B$5:$B$47,"Story",Issues!$E$5:$E$47,H8,Issues!$D$5:$D$47,"In Progress")</x:f>
        <x:v>1</x:v>
      </x:c>
      <x:c r="E8" s="2" t="n">
        <x:f>COUNTIFS(Issues!$B$5:$B$47,"Story",Issues!$E$5:$E$47,H8,Issues!$D$5:$D$47,"In UAT")</x:f>
        <x:v>1</x:v>
      </x:c>
      <x:c r="F8" s="2" t="n">
        <x:f>COUNTIFS(Issues!$B$5:$B$47,"Story",Issues!$E$5:$E$47,H8,Issues!$D$5:$D$47,"Done")</x:f>
        <x:v>0</x:v>
      </x:c>
      <x:c r="G8" s="7" t="n">
        <x:f>IF(B8=0,0,F8/B8)</x:f>
        <x:v>0</x:v>
      </x:c>
      <x:c r="H8" s="2" t="str">
        <x:v>ITROLL-2</x:v>
      </x:c>
    </x:row>
    <x:row r="9" ht="25" customHeight="1">
      <x:c r="A9" s="2" t="str">
        <x:v>Monitoring</x:v>
      </x:c>
      <x:c r="B9" s="2" t="n">
        <x:f>COUNTIFS(Issues!$B$5:$B$47,"Story",Issues!$E$5:$E$47,H9)</x:f>
        <x:v>3</x:v>
      </x:c>
      <x:c r="C9" s="2" t="n">
        <x:f>COUNTIFS(Issues!$B$5:$B$47,"Story",Issues!$E$5:$E$47,H9,Issues!$D$5:$D$47,"To Do")</x:f>
        <x:v>3</x:v>
      </x:c>
      <x:c r="D9" s="2" t="n">
        <x:f>COUNTIFS(Issues!$B$5:$B$47,"Story",Issues!$E$5:$E$47,H9,Issues!$D$5:$D$47,"In Progress")</x:f>
        <x:v>0</x:v>
      </x:c>
      <x:c r="E9" s="2" t="n">
        <x:f>COUNTIFS(Issues!$B$5:$B$47,"Story",Issues!$E$5:$E$47,H9,Issues!$D$5:$D$47,"In UAT")</x:f>
        <x:v>0</x:v>
      </x:c>
      <x:c r="F9" s="2" t="n">
        <x:f>COUNTIFS(Issues!$B$5:$B$47,"Story",Issues!$E$5:$E$47,H9,Issues!$D$5:$D$47,"Done")</x:f>
        <x:v>0</x:v>
      </x:c>
      <x:c r="G9" s="7" t="n">
        <x:f>IF(B9=0,0,F9/B9)</x:f>
        <x:v>0</x:v>
      </x:c>
      <x:c r="H9" s="2" t="str">
        <x:v>ITROLL-3</x:v>
      </x:c>
    </x:row>
    <x:row r="10" ht="25" customHeight="1">
      <x:c r="A10" s="2" t="str">
        <x:v>Printing</x:v>
      </x:c>
      <x:c r="B10" s="2" t="n">
        <x:f>COUNTIFS(Issues!$B$5:$B$47,"Story",Issues!$E$5:$E$47,H10)</x:f>
        <x:v>5</x:v>
      </x:c>
      <x:c r="C10" s="2" t="n">
        <x:f>COUNTIFS(Issues!$B$5:$B$47,"Story",Issues!$E$5:$E$47,H10,Issues!$D$5:$D$47,"To Do")</x:f>
        <x:v>5</x:v>
      </x:c>
      <x:c r="D10" s="2" t="n">
        <x:f>COUNTIFS(Issues!$B$5:$B$47,"Story",Issues!$E$5:$E$47,H10,Issues!$D$5:$D$47,"In Progress")</x:f>
        <x:v>0</x:v>
      </x:c>
      <x:c r="E10" s="2" t="n">
        <x:f>COUNTIFS(Issues!$B$5:$B$47,"Story",Issues!$E$5:$E$47,H10,Issues!$D$5:$D$47,"In UAT")</x:f>
        <x:v>0</x:v>
      </x:c>
      <x:c r="F10" s="2" t="n">
        <x:f>COUNTIFS(Issues!$B$5:$B$47,"Story",Issues!$E$5:$E$47,H10,Issues!$D$5:$D$47,"Done")</x:f>
        <x:v>0</x:v>
      </x:c>
      <x:c r="G10" s="7" t="n">
        <x:f>IF(B10=0,0,F10/B10)</x:f>
        <x:v>0</x:v>
      </x:c>
      <x:c r="H10" s="2" t="str">
        <x:v>ITROLL-4</x:v>
      </x:c>
    </x:row>
    <x:row r="11" ht="25" customHeight="1">
      <x:c r="A11" s="2" t="str">
        <x:v>Remote</x:v>
      </x:c>
      <x:c r="B11" s="2" t="n">
        <x:f>COUNTIFS(Issues!$B$5:$B$47,"Story",Issues!$E$5:$E$47,H11)</x:f>
        <x:v>3</x:v>
      </x:c>
      <x:c r="C11" s="2" t="n">
        <x:f>COUNTIFS(Issues!$B$5:$B$47,"Story",Issues!$E$5:$E$47,H11,Issues!$D$5:$D$47,"To Do")</x:f>
        <x:v>3</x:v>
      </x:c>
      <x:c r="D11" s="2" t="n">
        <x:f>COUNTIFS(Issues!$B$5:$B$47,"Story",Issues!$E$5:$E$47,H11,Issues!$D$5:$D$47,"In Progress")</x:f>
        <x:v>0</x:v>
      </x:c>
      <x:c r="E11" s="2" t="n">
        <x:f>COUNTIFS(Issues!$B$5:$B$47,"Story",Issues!$E$5:$E$47,H11,Issues!$D$5:$D$47,"In UAT")</x:f>
        <x:v>0</x:v>
      </x:c>
      <x:c r="F11" s="2" t="n">
        <x:f>COUNTIFS(Issues!$B$5:$B$47,"Story",Issues!$E$5:$E$47,H11,Issues!$D$5:$D$47,"Done")</x:f>
        <x:v>0</x:v>
      </x:c>
      <x:c r="G11" s="7" t="n">
        <x:f>IF(B11=0,0,F11/B11)</x:f>
        <x:v>0</x:v>
      </x:c>
      <x:c r="H11" s="2" t="str">
        <x:v>ITROLL-5</x:v>
      </x:c>
    </x:row>
    <x:row r="12" ht="25" customHeight="1">
      <x:c r="A12" s="16" t="str">
        <x:v>Total stories</x:v>
      </x:c>
      <x:c r="B12" s="16" t="n">
        <x:f>SUM(B7:B11)</x:f>
        <x:v>25</x:v>
      </x:c>
      <x:c r="C12" s="16" t="n">
        <x:f>SUM(C7:C11)</x:f>
        <x:v>23</x:v>
      </x:c>
      <x:c r="D12" s="16" t="n">
        <x:f>SUM(D7:D11)</x:f>
        <x:v>1</x:v>
      </x:c>
      <x:c r="E12" s="16" t="n">
        <x:f>SUM(E7:E11)</x:f>
        <x:v>1</x:v>
      </x:c>
      <x:c r="F12" s="16" t="n">
        <x:f>SUM(F7:F11)</x:f>
        <x:v>0</x:v>
      </x:c>
      <x:c r="G12" s="17" t="n">
        <x:f>IF(B12=0,0,F12/B12)</x:f>
        <x:v>0</x:v>
      </x:c>
      <x:c r="H12" s="16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</x:row>
    <x:row r="15" ht="25" customHeight="1">
      <x:c r="A15" s="13" t="str">
        <x:v>Story / UAT status</x:v>
      </x:c>
      <x:c r="B15" s="13" t="str">
        <x:v>Count</x:v>
      </x:c>
      <x:c r="C15" s="2"/>
      <x:c r="D15" s="13" t="str">
        <x:v>Open risk rating</x:v>
      </x:c>
      <x:c r="E15" s="13" t="str">
        <x:v>Open</x:v>
      </x:c>
      <x:c r="F15" s="13" t="str">
        <x:v>Total</x:v>
      </x:c>
      <x:c r="G15" s="2"/>
      <x:c r="H15" s="2"/>
    </x:row>
    <x:row r="16" ht="25" customHeight="1">
      <x:c r="A16" s="2" t="str">
        <x:v>To Do</x:v>
      </x:c>
      <x:c r="B16" s="2" t="n">
        <x:f>COUNTIFS(Issues!$B$5:$B$47,"Story",Issues!$D$5:$D$47,A16)</x:f>
        <x:v>23</x:v>
      </x:c>
      <x:c r="C16" s="2"/>
      <x:c r="D16" s="2" t="str">
        <x:v>High</x:v>
      </x:c>
      <x:c r="E16" s="2" t="n">
        <x:f>COUNTIFS(Issues!$L$5:$L$47,1,Issues!$G$5:$G$47,D16,Issues!$D$5:$D$47,"&lt;&gt;Done")</x:f>
        <x:v>3</x:v>
      </x:c>
      <x:c r="F16" s="2" t="n">
        <x:f>COUNTIFS(Issues!$L$5:$L$47,1,Issues!$G$5:$G$47,D16)</x:f>
        <x:v>3</x:v>
      </x:c>
      <x:c r="G16" s="2"/>
      <x:c r="H16" s="2"/>
    </x:row>
    <x:row r="17" ht="25" customHeight="1">
      <x:c r="A17" s="2" t="str">
        <x:v>In Progress</x:v>
      </x:c>
      <x:c r="B17" s="2" t="n">
        <x:f>COUNTIFS(Issues!$B$5:$B$47,"Story",Issues!$D$5:$D$47,A17)</x:f>
        <x:v>1</x:v>
      </x:c>
      <x:c r="C17" s="2"/>
      <x:c r="D17" s="2" t="str">
        <x:v>Medium</x:v>
      </x:c>
      <x:c r="E17" s="2" t="n">
        <x:f>COUNTIFS(Issues!$L$5:$L$47,1,Issues!$G$5:$G$47,D17,Issues!$D$5:$D$47,"&lt;&gt;Done")</x:f>
        <x:v>1</x:v>
      </x:c>
      <x:c r="F17" s="2" t="n">
        <x:f>COUNTIFS(Issues!$L$5:$L$47,1,Issues!$G$5:$G$47,D17)</x:f>
        <x:v>1</x:v>
      </x:c>
      <x:c r="G17" s="2"/>
      <x:c r="H17" s="2"/>
    </x:row>
    <x:row r="18" ht="25" customHeight="1">
      <x:c r="A18" s="2" t="str">
        <x:v>In UAT</x:v>
      </x:c>
      <x:c r="B18" s="2" t="n">
        <x:f>COUNTIFS(Issues!$B$5:$B$47,"Story",Issues!$D$5:$D$47,A18)</x:f>
        <x:v>1</x:v>
      </x:c>
      <x:c r="C18" s="2"/>
      <x:c r="D18" s="2" t="str">
        <x:v>All risks</x:v>
      </x:c>
      <x:c r="E18" s="2" t="n">
        <x:f>SUM(E16:E17)</x:f>
        <x:v>4</x:v>
      </x:c>
      <x:c r="F18" s="2" t="n">
        <x:f>SUM(F16:F17)</x:f>
        <x:v>4</x:v>
      </x:c>
      <x:c r="G18" s="2"/>
      <x:c r="H18" s="2"/>
    </x:row>
    <x:row r="19" ht="25" customHeight="1">
      <x:c r="A19" s="2" t="str">
        <x:v>Done</x:v>
      </x:c>
      <x:c r="B19" s="2" t="n">
        <x:f>COUNTIFS(Issues!$B$5:$B$47,"Story",Issues!$D$5:$D$47,A19)</x:f>
        <x:v>0</x:v>
      </x:c>
      <x:c r="C19" s="2"/>
      <x:c r="D19" s="2"/>
      <x:c r="E19" s="2"/>
      <x:c r="F19" s="2"/>
      <x:c r="G19" s="2"/>
      <x:c r="H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</x:row>
    <x:row r="22" ht="25" customHeight="1">
      <x:c r="A22" s="13" t="str">
        <x:v>Risk key</x:v>
      </x:c>
      <x:c r="B22" s="13" t="str">
        <x:v>Live status</x:v>
      </x:c>
      <x:c r="C22" s="13" t="str">
        <x:v>Rating</x:v>
      </x:c>
      <x:c r="D22" s="13" t="str">
        <x:v>Risk description</x:v>
      </x:c>
      <x:c r="E22" s="2"/>
      <x:c r="F22" s="2"/>
      <x:c r="G22" s="2"/>
      <x:c r="H22" s="2"/>
    </x:row>
    <x:row r="23" ht="33" customHeight="1">
      <x:c r="A23" s="2" t="str">
        <x:v>ITROLL-31</x:v>
      </x:c>
      <x:c r="B23" s="2" t="str">
        <x:v>To Do</x:v>
      </x:c>
      <x:c r="C23" s="2" t="str">
        <x:v>High</x:v>
      </x:c>
      <x:c r="D23" s="3" t="str">
        <x:v>R-01: AD disable leaves SMB/VPN active</x:v>
      </x:c>
      <x:c r="E23" s="3"/>
      <x:c r="F23" s="3"/>
      <x:c r="G23" s="3"/>
      <x:c r="H23" s="3"/>
    </x:row>
    <x:row r="24" ht="33" customHeight="1">
      <x:c r="A24" s="2" t="str">
        <x:v>ITROLL-32</x:v>
      </x:c>
      <x:c r="B24" s="2" t="str">
        <x:v>To Do</x:v>
      </x:c>
      <x:c r="C24" s="2" t="str">
        <x:v>High</x:v>
      </x:c>
      <x:c r="D24" s="3" t="str">
        <x:v>R-02: Single host failure stops office</x:v>
      </x:c>
      <x:c r="E24" s="3"/>
      <x:c r="F24" s="3"/>
      <x:c r="G24" s="3"/>
      <x:c r="H24" s="3"/>
    </x:row>
    <x:row r="25" ht="33" customHeight="1">
      <x:c r="A25" s="2" t="str">
        <x:v>ITROLL-33</x:v>
      </x:c>
      <x:c r="B25" s="2" t="str">
        <x:v>To Do</x:v>
      </x:c>
      <x:c r="C25" s="2" t="str">
        <x:v>Medium</x:v>
      </x:c>
      <x:c r="D25" s="3" t="str">
        <x:v>R-03: HTTP availability masks print failure</x:v>
      </x:c>
      <x:c r="E25" s="3"/>
      <x:c r="F25" s="3"/>
      <x:c r="G25" s="3"/>
      <x:c r="H25" s="3"/>
    </x:row>
    <x:row r="26" ht="33" customHeight="1">
      <x:c r="A26" s="2" t="str">
        <x:v>ITROLL-34</x:v>
      </x:c>
      <x:c r="B26" s="2" t="str">
        <x:v>To Do</x:v>
      </x:c>
      <x:c r="C26" s="2" t="str">
        <x:v>High</x:v>
      </x:c>
      <x:c r="D26" s="3" t="str">
        <x:v>R-04: Public exposure without hardening</x:v>
      </x:c>
      <x:c r="E26" s="3"/>
      <x:c r="F26" s="3"/>
      <x:c r="G26" s="3"/>
      <x:c r="H26" s="3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</x:row>
    <x:row r="29" ht="25" customHeight="1">
      <x:c r="A29" s="2" t="str">
        <x:v>Historical lab evidence is preserved in the issue descriptions; it does not establish current rollout acceptance.</x:v>
      </x:c>
      <x:c r="B29" s="2"/>
      <x:c r="C29" s="2"/>
      <x:c r="D29" s="2"/>
      <x:c r="E29" s="2"/>
      <x:c r="F29" s="2"/>
      <x:c r="G29" s="2"/>
      <x:c r="H29" s="2"/>
    </x:row>
    <x:row r="30" ht="25" customHeight="1">
      <x:c r="A30" s="2" t="str">
        <x:v>Refresh: export Jira issues, then rerun scripts/jira_report.mjs. Counts use the Issues sheet and exact live statuses.</x:v>
      </x:c>
      <x:c r="B30" s="2"/>
      <x:c r="C30" s="2"/>
      <x:c r="D30" s="2"/>
      <x:c r="E30" s="2"/>
      <x:c r="F30" s="2"/>
      <x:c r="G30" s="2"/>
      <x:c r="H30" s="2"/>
    </x:row>
  </x:sheetData>
  <x:mergeCells>
    <x:mergeCell ref="D23:H23"/>
    <x:mergeCell ref="D24:H24"/>
    <x:mergeCell ref="D25:H25"/>
    <x:mergeCell ref="D26:H26"/>
  </x:mergeCells>
  <x:pageMargins left="0.7" right="0.7" top="0.75" bottom="0.75" header="0.3" footer="0.3"/>
  <x:drawing xmlns:r="http://schemas.openxmlformats.org/officeDocument/2006/relationships" r:id="Rd719b04ee79a41a9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5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50" hidden="0" customWidth="1"/>
    <x:col min="9" max="9" width="20" hidden="0" customWidth="1"/>
    <x:col min="10" max="10" width="20" hidden="0" customWidth="1"/>
    <x:col min="11" max="11" width="65" hidden="0" customWidth="1"/>
  </x:cols>
  <x:sheetData>
    <x:row r="1" ht="23" customHeight="1">
      <x:c r="A1" s="2" t="str">
        <x:v>Source: Jira REST API export, jira/issues.csv; captured 2026-10-22T10:04:25.282669+00:00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2" t="str">
        <x:v>Fictional case study run in a real Jira site; one row per live issue.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 t="str">
        <x:v>Key</x:v>
      </x:c>
      <x:c r="B4" s="2" t="str">
        <x:v>Issue type</x:v>
      </x:c>
      <x:c r="C4" s="2" t="str">
        <x:v>Summary</x:v>
      </x:c>
      <x:c r="D4" s="2" t="str">
        <x:v>Status</x:v>
      </x:c>
      <x:c r="E4" s="2" t="str">
        <x:v>Epic</x:v>
      </x:c>
      <x:c r="F4" s="2" t="str">
        <x:v>Requirement ID</x:v>
      </x:c>
      <x:c r="G4" s="2" t="str">
        <x:v>Risk rating</x:v>
      </x:c>
      <x:c r="H4" s="2" t="str">
        <x:v>Labels</x:v>
      </x:c>
      <x:c r="I4" s="2" t="str">
        <x:v>Assignee</x:v>
      </x:c>
      <x:c r="J4" s="2" t="str">
        <x:v>Updated</x:v>
      </x:c>
      <x:c r="K4" s="2" t="str">
        <x:v>URL</x:v>
      </x:c>
      <x:c r="L4" t="str">
        <x:v>Is risk (label)</x:v>
      </x:c>
    </x:row>
    <x:row r="5" ht="38" customHeight="1">
      <x:c r="A5" s="4" t="str">
        <x:v>ITROLL-1</x:v>
      </x:c>
      <x:c r="B5" s="4" t="str">
        <x:v>Epic</x:v>
      </x:c>
      <x:c r="C5" s="4" t="str">
        <x:v>Files</x:v>
      </x:c>
      <x:c r="D5" s="4" t="str">
        <x:v>To Do</x:v>
      </x:c>
      <x:c r="E5" s="4" t="str"/>
      <x:c r="F5" s="4" t="str"/>
      <x:c r="G5" s="4" t="str"/>
      <x:c r="H5" s="4" t="str">
        <x:v>fictional-case-study;rollout-delivery-pack;source-epic-files</x:v>
      </x:c>
      <x:c r="I5" s="4" t="str"/>
      <x:c r="J5" s="4" t="str">
        <x:v>2026-10-22T20:37:23.402+1100</x:v>
      </x:c>
      <x:c r="K5" s="4" t="str">
        <x:v>https://iamnajib.atlassian.net/browse/ITROLL-1</x:v>
      </x:c>
      <x:c r="L5" t="n">
        <x:f>IF(ISNUMBER(SEARCH(";risk;",";"&amp;H5&amp;";")),1,0)</x:f>
        <x:v>0</x:v>
      </x:c>
    </x:row>
    <x:row r="6" ht="38" customHeight="1">
      <x:c r="A6" s="4" t="str">
        <x:v>ITROLL-2</x:v>
      </x:c>
      <x:c r="B6" s="4" t="str">
        <x:v>Epic</x:v>
      </x:c>
      <x:c r="C6" s="4" t="str">
        <x:v>Identity</x:v>
      </x:c>
      <x:c r="D6" s="4" t="str">
        <x:v>To Do</x:v>
      </x:c>
      <x:c r="E6" s="4" t="str"/>
      <x:c r="F6" s="4" t="str"/>
      <x:c r="G6" s="4" t="str"/>
      <x:c r="H6" s="4" t="str">
        <x:v>fictional-case-study;rollout-delivery-pack;source-epic-identity</x:v>
      </x:c>
      <x:c r="I6" s="4" t="str"/>
      <x:c r="J6" s="4" t="str">
        <x:v>2026-10-22T20:37:25.196+1100</x:v>
      </x:c>
      <x:c r="K6" s="4" t="str">
        <x:v>https://iamnajib.atlassian.net/browse/ITROLL-2</x:v>
      </x:c>
      <x:c r="L6" t="n">
        <x:f>IF(ISNUMBER(SEARCH(";risk;",";"&amp;H6&amp;";")),1,0)</x:f>
        <x:v>0</x:v>
      </x:c>
    </x:row>
    <x:row r="7" ht="38" customHeight="1">
      <x:c r="A7" s="4" t="str">
        <x:v>ITROLL-3</x:v>
      </x:c>
      <x:c r="B7" s="4" t="str">
        <x:v>Epic</x:v>
      </x:c>
      <x:c r="C7" s="4" t="str">
        <x:v>Monitoring</x:v>
      </x:c>
      <x:c r="D7" s="4" t="str">
        <x:v>To Do</x:v>
      </x:c>
      <x:c r="E7" s="4" t="str"/>
      <x:c r="F7" s="4" t="str"/>
      <x:c r="G7" s="4" t="str"/>
      <x:c r="H7" s="4" t="str">
        <x:v>fictional-case-study;rollout-delivery-pack;source-epic-monitoring</x:v>
      </x:c>
      <x:c r="I7" s="4" t="str"/>
      <x:c r="J7" s="4" t="str">
        <x:v>2026-10-22T20:37:25.986+1100</x:v>
      </x:c>
      <x:c r="K7" s="4" t="str">
        <x:v>https://iamnajib.atlassian.net/browse/ITROLL-3</x:v>
      </x:c>
      <x:c r="L7" t="n">
        <x:f>IF(ISNUMBER(SEARCH(";risk;",";"&amp;H7&amp;";")),1,0)</x:f>
        <x:v>0</x:v>
      </x:c>
    </x:row>
    <x:row r="8" ht="38" customHeight="1">
      <x:c r="A8" s="4" t="str">
        <x:v>ITROLL-4</x:v>
      </x:c>
      <x:c r="B8" s="4" t="str">
        <x:v>Epic</x:v>
      </x:c>
      <x:c r="C8" s="4" t="str">
        <x:v>Printing</x:v>
      </x:c>
      <x:c r="D8" s="4" t="str">
        <x:v>To Do</x:v>
      </x:c>
      <x:c r="E8" s="4" t="str"/>
      <x:c r="F8" s="4" t="str"/>
      <x:c r="G8" s="4" t="str"/>
      <x:c r="H8" s="4" t="str">
        <x:v>fictional-case-study;rollout-delivery-pack;source-epic-printing</x:v>
      </x:c>
      <x:c r="I8" s="4" t="str"/>
      <x:c r="J8" s="4" t="str">
        <x:v>2026-10-22T20:37:26.696+1100</x:v>
      </x:c>
      <x:c r="K8" s="4" t="str">
        <x:v>https://iamnajib.atlassian.net/browse/ITROLL-4</x:v>
      </x:c>
      <x:c r="L8" t="n">
        <x:f>IF(ISNUMBER(SEARCH(";risk;",";"&amp;H8&amp;";")),1,0)</x:f>
        <x:v>0</x:v>
      </x:c>
    </x:row>
    <x:row r="9" ht="38" customHeight="1">
      <x:c r="A9" s="4" t="str">
        <x:v>ITROLL-5</x:v>
      </x:c>
      <x:c r="B9" s="4" t="str">
        <x:v>Epic</x:v>
      </x:c>
      <x:c r="C9" s="4" t="str">
        <x:v>Remote</x:v>
      </x:c>
      <x:c r="D9" s="4" t="str">
        <x:v>To Do</x:v>
      </x:c>
      <x:c r="E9" s="4" t="str"/>
      <x:c r="F9" s="4" t="str"/>
      <x:c r="G9" s="4" t="str"/>
      <x:c r="H9" s="4" t="str">
        <x:v>fictional-case-study;rollout-delivery-pack;source-epic-remote</x:v>
      </x:c>
      <x:c r="I9" s="4" t="str"/>
      <x:c r="J9" s="4" t="str">
        <x:v>2026-10-22T20:37:27.627+1100</x:v>
      </x:c>
      <x:c r="K9" s="4" t="str">
        <x:v>https://iamnajib.atlassian.net/browse/ITROLL-5</x:v>
      </x:c>
      <x:c r="L9" t="n">
        <x:f>IF(ISNUMBER(SEARCH(";risk;",";"&amp;H9&amp;";")),1,0)</x:f>
        <x:v>0</x:v>
      </x:c>
    </x:row>
    <x:row r="10" ht="38" customHeight="1">
      <x:c r="A10" s="4" t="str">
        <x:v>ITROLL-6</x:v>
      </x:c>
      <x:c r="B10" s="4" t="str">
        <x:v>Story</x:v>
      </x:c>
      <x:c r="C10" s="4" t="str">
        <x:v>US-01: Create a starter account</x:v>
      </x:c>
      <x:c r="D10" s="4" t="str">
        <x:v>In UAT</x:v>
      </x:c>
      <x:c r="E10" s="4" t="str">
        <x:v>ITROLL-2</x:v>
      </x:c>
      <x:c r="F10" s="4" t="str">
        <x:v>BR-01</x:v>
      </x:c>
      <x:c r="G10" s="4" t="str"/>
      <x:c r="H10" s="4" t="str">
        <x:v>fictional-case-study;rollout-delivery-pack;source-us-01</x:v>
      </x:c>
      <x:c r="I10" s="4" t="str">
        <x:v>Nazmul Hassan Najib</x:v>
      </x:c>
      <x:c r="J10" s="4" t="str">
        <x:v>2026-10-22T20:50:17.445+1100</x:v>
      </x:c>
      <x:c r="K10" s="4" t="str">
        <x:v>https://iamnajib.atlassian.net/browse/ITROLL-6</x:v>
      </x:c>
      <x:c r="L10" t="n">
        <x:f>IF(ISNUMBER(SEARCH(";risk;",";"&amp;H10&amp;";")),1,0)</x:f>
        <x:v>0</x:v>
      </x:c>
    </x:row>
    <x:row r="11" ht="38" customHeight="1">
      <x:c r="A11" s="4" t="str">
        <x:v>ITROLL-7</x:v>
      </x:c>
      <x:c r="B11" s="4" t="str">
        <x:v>Story</x:v>
      </x:c>
      <x:c r="C11" s="4" t="str">
        <x:v>US-02: Reset password and require change</x:v>
      </x:c>
      <x:c r="D11" s="4" t="str">
        <x:v>In Progress</x:v>
      </x:c>
      <x:c r="E11" s="4" t="str">
        <x:v>ITROLL-2</x:v>
      </x:c>
      <x:c r="F11" s="4" t="str">
        <x:v>BR-01</x:v>
      </x:c>
      <x:c r="G11" s="4" t="str"/>
      <x:c r="H11" s="4" t="str">
        <x:v>fictional-case-study;rollout-delivery-pack;source-us-02</x:v>
      </x:c>
      <x:c r="I11" s="4" t="str"/>
      <x:c r="J11" s="4" t="str">
        <x:v>2026-10-22T20:50:16.668+1100</x:v>
      </x:c>
      <x:c r="K11" s="4" t="str">
        <x:v>https://iamnajib.atlassian.net/browse/ITROLL-7</x:v>
      </x:c>
      <x:c r="L11" t="n">
        <x:f>IF(ISNUMBER(SEARCH(";risk;",";"&amp;H11&amp;";")),1,0)</x:f>
        <x:v>0</x:v>
      </x:c>
    </x:row>
    <x:row r="12" ht="38" customHeight="1">
      <x:c r="A12" s="4" t="str">
        <x:v>ITROLL-8</x:v>
      </x:c>
      <x:c r="B12" s="4" t="str">
        <x:v>Story</x:v>
      </x:c>
      <x:c r="C12" s="4" t="str">
        <x:v>US-03: Lock after five failed sign-ins</x:v>
      </x:c>
      <x:c r="D12" s="4" t="str">
        <x:v>To Do</x:v>
      </x:c>
      <x:c r="E12" s="4" t="str">
        <x:v>ITROLL-2</x:v>
      </x:c>
      <x:c r="F12" s="4" t="str">
        <x:v>BR-01</x:v>
      </x:c>
      <x:c r="G12" s="4" t="str"/>
      <x:c r="H12" s="4" t="str">
        <x:v>fictional-case-study;rollout-delivery-pack;source-us-03</x:v>
      </x:c>
      <x:c r="I12" s="4" t="str"/>
      <x:c r="J12" s="4" t="str">
        <x:v>2026-10-22T20:39:30.335+1100</x:v>
      </x:c>
      <x:c r="K12" s="4" t="str">
        <x:v>https://iamnajib.atlassian.net/browse/ITROLL-8</x:v>
      </x:c>
      <x:c r="L12" t="n">
        <x:f>IF(ISNUMBER(SEARCH(";risk;",";"&amp;H12&amp;";")),1,0)</x:f>
        <x:v>0</x:v>
      </x:c>
    </x:row>
    <x:row r="13" ht="38" customHeight="1">
      <x:c r="A13" s="4" t="str">
        <x:v>ITROLL-9</x:v>
      </x:c>
      <x:c r="B13" s="4" t="str">
        <x:v>Story</x:v>
      </x:c>
      <x:c r="C13" s="4" t="str">
        <x:v>US-04: Reject correct password while locked</x:v>
      </x:c>
      <x:c r="D13" s="4" t="str">
        <x:v>To Do</x:v>
      </x:c>
      <x:c r="E13" s="4" t="str">
        <x:v>ITROLL-2</x:v>
      </x:c>
      <x:c r="F13" s="4" t="str">
        <x:v>BR-01</x:v>
      </x:c>
      <x:c r="G13" s="4" t="str"/>
      <x:c r="H13" s="4" t="str">
        <x:v>fictional-case-study;rollout-delivery-pack;source-us-04</x:v>
      </x:c>
      <x:c r="I13" s="4" t="str"/>
      <x:c r="J13" s="4" t="str">
        <x:v>2026-10-22T20:39:31.100+1100</x:v>
      </x:c>
      <x:c r="K13" s="4" t="str">
        <x:v>https://iamnajib.atlassian.net/browse/ITROLL-9</x:v>
      </x:c>
      <x:c r="L13" t="n">
        <x:f>IF(ISNUMBER(SEARCH(";risk;",";"&amp;H13&amp;";")),1,0)</x:f>
        <x:v>0</x:v>
      </x:c>
    </x:row>
    <x:row r="14" ht="38" customHeight="1">
      <x:c r="A14" s="4" t="str">
        <x:v>ITROLL-10</x:v>
      </x:c>
      <x:c r="B14" s="4" t="str">
        <x:v>Story</x:v>
      </x:c>
      <x:c r="C14" s="4" t="str">
        <x:v>US-05: Unlock and authenticate</x:v>
      </x:c>
      <x:c r="D14" s="4" t="str">
        <x:v>To Do</x:v>
      </x:c>
      <x:c r="E14" s="4" t="str">
        <x:v>ITROLL-2</x:v>
      </x:c>
      <x:c r="F14" s="4" t="str">
        <x:v>BR-01</x:v>
      </x:c>
      <x:c r="G14" s="4" t="str"/>
      <x:c r="H14" s="4" t="str">
        <x:v>fictional-case-study;rollout-delivery-pack;source-us-05</x:v>
      </x:c>
      <x:c r="I14" s="4" t="str"/>
      <x:c r="J14" s="4" t="str">
        <x:v>2026-10-22T20:39:31.955+1100</x:v>
      </x:c>
      <x:c r="K14" s="4" t="str">
        <x:v>https://iamnajib.atlassian.net/browse/ITROLL-10</x:v>
      </x:c>
      <x:c r="L14" t="n">
        <x:f>IF(ISNUMBER(SEARCH(";risk;",";"&amp;H14&amp;";")),1,0)</x:f>
        <x:v>0</x:v>
      </x:c>
    </x:row>
    <x:row r="15" ht="38" customHeight="1">
      <x:c r="A15" s="4" t="str">
        <x:v>ITROLL-11</x:v>
      </x:c>
      <x:c r="B15" s="4" t="str">
        <x:v>Story</x:v>
      </x:c>
      <x:c r="C15" s="4" t="str">
        <x:v>US-06: Assign directory Finance membership</x:v>
      </x:c>
      <x:c r="D15" s="4" t="str">
        <x:v>To Do</x:v>
      </x:c>
      <x:c r="E15" s="4" t="str">
        <x:v>ITROLL-2</x:v>
      </x:c>
      <x:c r="F15" s="4" t="str">
        <x:v>BR-01</x:v>
      </x:c>
      <x:c r="G15" s="4" t="str"/>
      <x:c r="H15" s="4" t="str">
        <x:v>fictional-case-study;rollout-delivery-pack;source-us-06</x:v>
      </x:c>
      <x:c r="I15" s="4" t="str"/>
      <x:c r="J15" s="4" t="str">
        <x:v>2026-10-22T20:39:32.811+1100</x:v>
      </x:c>
      <x:c r="K15" s="4" t="str">
        <x:v>https://iamnajib.atlassian.net/browse/ITROLL-11</x:v>
      </x:c>
      <x:c r="L15" t="n">
        <x:f>IF(ISNUMBER(SEARCH(";risk;",";"&amp;H15&amp;";")),1,0)</x:f>
        <x:v>0</x:v>
      </x:c>
    </x:row>
    <x:row r="16" ht="38" customHeight="1">
      <x:c r="A16" s="4" t="str">
        <x:v>ITROLL-12</x:v>
      </x:c>
      <x:c r="B16" s="4" t="str">
        <x:v>Story</x:v>
      </x:c>
      <x:c r="C16" s="4" t="str">
        <x:v>US-07: Disable a directory leaver</x:v>
      </x:c>
      <x:c r="D16" s="4" t="str">
        <x:v>To Do</x:v>
      </x:c>
      <x:c r="E16" s="4" t="str">
        <x:v>ITROLL-2</x:v>
      </x:c>
      <x:c r="F16" s="4" t="str">
        <x:v>BR-02</x:v>
      </x:c>
      <x:c r="G16" s="4" t="str"/>
      <x:c r="H16" s="4" t="str">
        <x:v>fictional-case-study;rollout-delivery-pack;source-us-07</x:v>
      </x:c>
      <x:c r="I16" s="4" t="str"/>
      <x:c r="J16" s="4" t="str">
        <x:v>2026-10-22T20:39:33.682+1100</x:v>
      </x:c>
      <x:c r="K16" s="4" t="str">
        <x:v>https://iamnajib.atlassian.net/browse/ITROLL-12</x:v>
      </x:c>
      <x:c r="L16" t="n">
        <x:f>IF(ISNUMBER(SEARCH(";risk;",";"&amp;H16&amp;";")),1,0)</x:f>
        <x:v>0</x:v>
      </x:c>
    </x:row>
    <x:row r="17" ht="38" customHeight="1">
      <x:c r="A17" s="4" t="str">
        <x:v>ITROLL-13</x:v>
      </x:c>
      <x:c r="B17" s="4" t="str">
        <x:v>Story</x:v>
      </x:c>
      <x:c r="C17" s="4" t="str">
        <x:v>US-08: Reject disabled account sign-in</x:v>
      </x:c>
      <x:c r="D17" s="4" t="str">
        <x:v>To Do</x:v>
      </x:c>
      <x:c r="E17" s="4" t="str">
        <x:v>ITROLL-2</x:v>
      </x:c>
      <x:c r="F17" s="4" t="str">
        <x:v>BR-02</x:v>
      </x:c>
      <x:c r="G17" s="4" t="str"/>
      <x:c r="H17" s="4" t="str">
        <x:v>fictional-case-study;rollout-delivery-pack;source-us-08</x:v>
      </x:c>
      <x:c r="I17" s="4" t="str"/>
      <x:c r="J17" s="4" t="str">
        <x:v>2026-10-22T20:39:34.460+1100</x:v>
      </x:c>
      <x:c r="K17" s="4" t="str">
        <x:v>https://iamnajib.atlassian.net/browse/ITROLL-13</x:v>
      </x:c>
      <x:c r="L17" t="n">
        <x:f>IF(ISNUMBER(SEARCH(";risk;",";"&amp;H17&amp;";")),1,0)</x:f>
        <x:v>0</x:v>
      </x:c>
    </x:row>
    <x:row r="18" ht="38" customHeight="1">
      <x:c r="A18" s="4" t="str">
        <x:v>ITROLL-14</x:v>
      </x:c>
      <x:c r="B18" s="4" t="str">
        <x:v>Story</x:v>
      </x:c>
      <x:c r="C18" s="4" t="str">
        <x:v>US-09: Write and read Finance files</x:v>
      </x:c>
      <x:c r="D18" s="4" t="str">
        <x:v>To Do</x:v>
      </x:c>
      <x:c r="E18" s="4" t="str">
        <x:v>ITROLL-1</x:v>
      </x:c>
      <x:c r="F18" s="4" t="str">
        <x:v>BR-03</x:v>
      </x:c>
      <x:c r="G18" s="4" t="str"/>
      <x:c r="H18" s="4" t="str">
        <x:v>fictional-case-study;rollout-delivery-pack;source-us-09</x:v>
      </x:c>
      <x:c r="I18" s="4" t="str"/>
      <x:c r="J18" s="4" t="str">
        <x:v>2026-10-22T20:43:37.563+1100</x:v>
      </x:c>
      <x:c r="K18" s="4" t="str">
        <x:v>https://iamnajib.atlassian.net/browse/ITROLL-14</x:v>
      </x:c>
      <x:c r="L18" t="n">
        <x:f>IF(ISNUMBER(SEARCH(";risk;",";"&amp;H18&amp;";")),1,0)</x:f>
        <x:v>0</x:v>
      </x:c>
    </x:row>
    <x:row r="19" ht="38" customHeight="1">
      <x:c r="A19" s="4" t="str">
        <x:v>ITROLL-15</x:v>
      </x:c>
      <x:c r="B19" s="4" t="str">
        <x:v>Story</x:v>
      </x:c>
      <x:c r="C19" s="4" t="str">
        <x:v>US-10: Deny Finance to non-Finance staff</x:v>
      </x:c>
      <x:c r="D19" s="4" t="str">
        <x:v>To Do</x:v>
      </x:c>
      <x:c r="E19" s="4" t="str">
        <x:v>ITROLL-1</x:v>
      </x:c>
      <x:c r="F19" s="4" t="str">
        <x:v>BR-03</x:v>
      </x:c>
      <x:c r="G19" s="4" t="str"/>
      <x:c r="H19" s="4" t="str">
        <x:v>fictional-case-study;rollout-delivery-pack;source-us-10</x:v>
      </x:c>
      <x:c r="I19" s="4" t="str"/>
      <x:c r="J19" s="4" t="str">
        <x:v>2026-10-22T20:43:37.717+1100</x:v>
      </x:c>
      <x:c r="K19" s="4" t="str">
        <x:v>https://iamnajib.atlassian.net/browse/ITROLL-15</x:v>
      </x:c>
      <x:c r="L19" t="n">
        <x:f>IF(ISNUMBER(SEARCH(";risk;",";"&amp;H19&amp;";")),1,0)</x:f>
        <x:v>0</x:v>
      </x:c>
    </x:row>
    <x:row r="20" ht="38" customHeight="1">
      <x:c r="A20" s="4" t="str">
        <x:v>ITROLL-16</x:v>
      </x:c>
      <x:c r="B20" s="4" t="str">
        <x:v>Story</x:v>
      </x:c>
      <x:c r="C20" s="4" t="str">
        <x:v>US-11: Use Public as Finance staff</x:v>
      </x:c>
      <x:c r="D20" s="4" t="str">
        <x:v>To Do</x:v>
      </x:c>
      <x:c r="E20" s="4" t="str">
        <x:v>ITROLL-1</x:v>
      </x:c>
      <x:c r="F20" s="4" t="str">
        <x:v>BR-03</x:v>
      </x:c>
      <x:c r="G20" s="4" t="str"/>
      <x:c r="H20" s="4" t="str">
        <x:v>fictional-case-study;rollout-delivery-pack;source-us-11</x:v>
      </x:c>
      <x:c r="I20" s="4" t="str"/>
      <x:c r="J20" s="4" t="str">
        <x:v>2026-10-22T20:39:36.812+1100</x:v>
      </x:c>
      <x:c r="K20" s="4" t="str">
        <x:v>https://iamnajib.atlassian.net/browse/ITROLL-16</x:v>
      </x:c>
      <x:c r="L20" t="n">
        <x:f>IF(ISNUMBER(SEARCH(";risk;",";"&amp;H20&amp;";")),1,0)</x:f>
        <x:v>0</x:v>
      </x:c>
    </x:row>
    <x:row r="21" ht="38" customHeight="1">
      <x:c r="A21" s="4" t="str">
        <x:v>ITROLL-17</x:v>
      </x:c>
      <x:c r="B21" s="4" t="str">
        <x:v>Story</x:v>
      </x:c>
      <x:c r="C21" s="4" t="str">
        <x:v>US-12: Use Public as general staff</x:v>
      </x:c>
      <x:c r="D21" s="4" t="str">
        <x:v>To Do</x:v>
      </x:c>
      <x:c r="E21" s="4" t="str">
        <x:v>ITROLL-1</x:v>
      </x:c>
      <x:c r="F21" s="4" t="str">
        <x:v>BR-03</x:v>
      </x:c>
      <x:c r="G21" s="4" t="str"/>
      <x:c r="H21" s="4" t="str">
        <x:v>fictional-case-study;rollout-delivery-pack;source-us-12</x:v>
      </x:c>
      <x:c r="I21" s="4" t="str"/>
      <x:c r="J21" s="4" t="str">
        <x:v>2026-10-22T20:39:37.849+1100</x:v>
      </x:c>
      <x:c r="K21" s="4" t="str">
        <x:v>https://iamnajib.atlassian.net/browse/ITROLL-17</x:v>
      </x:c>
      <x:c r="L21" t="n">
        <x:f>IF(ISNUMBER(SEARCH(";risk;",";"&amp;H21&amp;";")),1,0)</x:f>
        <x:v>0</x:v>
      </x:c>
    </x:row>
    <x:row r="22" ht="38" customHeight="1">
      <x:c r="A22" s="4" t="str">
        <x:v>ITROLL-18</x:v>
      </x:c>
      <x:c r="B22" s="4" t="str">
        <x:v>Story</x:v>
      </x:c>
      <x:c r="C22" s="4" t="str">
        <x:v>US-13: Complete a PDF print job</x:v>
      </x:c>
      <x:c r="D22" s="4" t="str">
        <x:v>To Do</x:v>
      </x:c>
      <x:c r="E22" s="4" t="str">
        <x:v>ITROLL-4</x:v>
      </x:c>
      <x:c r="F22" s="4" t="str">
        <x:v>BR-04</x:v>
      </x:c>
      <x:c r="G22" s="4" t="str"/>
      <x:c r="H22" s="4" t="str">
        <x:v>fictional-case-study;rollout-delivery-pack;source-us-13</x:v>
      </x:c>
      <x:c r="I22" s="4" t="str"/>
      <x:c r="J22" s="4" t="str">
        <x:v>2026-10-22T20:39:38.876+1100</x:v>
      </x:c>
      <x:c r="K22" s="4" t="str">
        <x:v>https://iamnajib.atlassian.net/browse/ITROLL-18</x:v>
      </x:c>
      <x:c r="L22" t="n">
        <x:f>IF(ISNUMBER(SEARCH(";risk;",";"&amp;H22&amp;";")),1,0)</x:f>
        <x:v>0</x:v>
      </x:c>
    </x:row>
    <x:row r="23" ht="38" customHeight="1">
      <x:c r="A23" s="4" t="str">
        <x:v>ITROLL-19</x:v>
      </x:c>
      <x:c r="B23" s="4" t="str">
        <x:v>Story</x:v>
      </x:c>
      <x:c r="C23" s="4" t="str">
        <x:v>US-14: View queues without admin access</x:v>
      </x:c>
      <x:c r="D23" s="4" t="str">
        <x:v>To Do</x:v>
      </x:c>
      <x:c r="E23" s="4" t="str">
        <x:v>ITROLL-4</x:v>
      </x:c>
      <x:c r="F23" s="4" t="str">
        <x:v>BR-04</x:v>
      </x:c>
      <x:c r="G23" s="4" t="str"/>
      <x:c r="H23" s="4" t="str">
        <x:v>fictional-case-study;rollout-delivery-pack;source-us-14</x:v>
      </x:c>
      <x:c r="I23" s="4" t="str"/>
      <x:c r="J23" s="4" t="str">
        <x:v>2026-10-22T20:39:39.852+1100</x:v>
      </x:c>
      <x:c r="K23" s="4" t="str">
        <x:v>https://iamnajib.atlassian.net/browse/ITROLL-19</x:v>
      </x:c>
      <x:c r="L23" t="n">
        <x:f>IF(ISNUMBER(SEARCH(";risk;",";"&amp;H23&amp;";")),1,0)</x:f>
        <x:v>0</x:v>
      </x:c>
    </x:row>
    <x:row r="24" ht="38" customHeight="1">
      <x:c r="A24" s="4" t="str">
        <x:v>ITROLL-20</x:v>
      </x:c>
      <x:c r="B24" s="4" t="str">
        <x:v>Story</x:v>
      </x:c>
      <x:c r="C24" s="4" t="str">
        <x:v>US-15: Require admin authentication</x:v>
      </x:c>
      <x:c r="D24" s="4" t="str">
        <x:v>To Do</x:v>
      </x:c>
      <x:c r="E24" s="4" t="str">
        <x:v>ITROLL-4</x:v>
      </x:c>
      <x:c r="F24" s="4" t="str">
        <x:v>BR-04</x:v>
      </x:c>
      <x:c r="G24" s="4" t="str"/>
      <x:c r="H24" s="4" t="str">
        <x:v>fictional-case-study;rollout-delivery-pack;source-us-15</x:v>
      </x:c>
      <x:c r="I24" s="4" t="str"/>
      <x:c r="J24" s="4" t="str">
        <x:v>2026-10-22T20:39:40.779+1100</x:v>
      </x:c>
      <x:c r="K24" s="4" t="str">
        <x:v>https://iamnajib.atlassian.net/browse/ITROLL-20</x:v>
      </x:c>
      <x:c r="L24" t="n">
        <x:f>IF(ISNUMBER(SEARCH(";risk;",";"&amp;H24&amp;";")),1,0)</x:f>
        <x:v>0</x:v>
      </x:c>
    </x:row>
    <x:row r="25" ht="38" customHeight="1">
      <x:c r="A25" s="4" t="str">
        <x:v>ITROLL-21</x:v>
      </x:c>
      <x:c r="B25" s="4" t="str">
        <x:v>Story</x:v>
      </x:c>
      <x:c r="C25" s="4" t="str">
        <x:v>US-16: Allow authenticated printer admin</x:v>
      </x:c>
      <x:c r="D25" s="4" t="str">
        <x:v>To Do</x:v>
      </x:c>
      <x:c r="E25" s="4" t="str">
        <x:v>ITROLL-4</x:v>
      </x:c>
      <x:c r="F25" s="4" t="str">
        <x:v>BR-04</x:v>
      </x:c>
      <x:c r="G25" s="4" t="str"/>
      <x:c r="H25" s="4" t="str">
        <x:v>fictional-case-study;rollout-delivery-pack;source-us-16</x:v>
      </x:c>
      <x:c r="I25" s="4" t="str"/>
      <x:c r="J25" s="4" t="str">
        <x:v>2026-10-22T20:39:41.696+1100</x:v>
      </x:c>
      <x:c r="K25" s="4" t="str">
        <x:v>https://iamnajib.atlassian.net/browse/ITROLL-21</x:v>
      </x:c>
      <x:c r="L25" t="n">
        <x:f>IF(ISNUMBER(SEARCH(";risk;",";"&amp;H25&amp;";")),1,0)</x:f>
        <x:v>0</x:v>
      </x:c>
    </x:row>
    <x:row r="26" ht="38" customHeight="1">
      <x:c r="A26" s="4" t="str">
        <x:v>ITROLL-22</x:v>
      </x:c>
      <x:c r="B26" s="4" t="str">
        <x:v>Story</x:v>
      </x:c>
      <x:c r="C26" s="4" t="str">
        <x:v>US-17: Create and list a device peer</x:v>
      </x:c>
      <x:c r="D26" s="4" t="str">
        <x:v>To Do</x:v>
      </x:c>
      <x:c r="E26" s="4" t="str">
        <x:v>ITROLL-5</x:v>
      </x:c>
      <x:c r="F26" s="4" t="str">
        <x:v>BR-05</x:v>
      </x:c>
      <x:c r="G26" s="4" t="str"/>
      <x:c r="H26" s="4" t="str">
        <x:v>fictional-case-study;rollout-delivery-pack;source-us-17</x:v>
      </x:c>
      <x:c r="I26" s="4" t="str"/>
      <x:c r="J26" s="4" t="str">
        <x:v>2026-10-22T20:39:42.610+1100</x:v>
      </x:c>
      <x:c r="K26" s="4" t="str">
        <x:v>https://iamnajib.atlassian.net/browse/ITROLL-22</x:v>
      </x:c>
      <x:c r="L26" t="n">
        <x:f>IF(ISNUMBER(SEARCH(";risk;",";"&amp;H26&amp;";")),1,0)</x:f>
        <x:v>0</x:v>
      </x:c>
    </x:row>
    <x:row r="27" ht="38" customHeight="1">
      <x:c r="A27" s="4" t="str">
        <x:v>ITROLL-23</x:v>
      </x:c>
      <x:c r="B27" s="4" t="str">
        <x:v>Story</x:v>
      </x:c>
      <x:c r="C27" s="4" t="str">
        <x:v>US-18: Revoke a device peer</x:v>
      </x:c>
      <x:c r="D27" s="4" t="str">
        <x:v>To Do</x:v>
      </x:c>
      <x:c r="E27" s="4" t="str">
        <x:v>ITROLL-5</x:v>
      </x:c>
      <x:c r="F27" s="4" t="str">
        <x:v>BR-02</x:v>
      </x:c>
      <x:c r="G27" s="4" t="str"/>
      <x:c r="H27" s="4" t="str">
        <x:v>fictional-case-study;rollout-delivery-pack;source-us-18</x:v>
      </x:c>
      <x:c r="I27" s="4" t="str"/>
      <x:c r="J27" s="4" t="str">
        <x:v>2026-10-22T20:39:43.516+1100</x:v>
      </x:c>
      <x:c r="K27" s="4" t="str">
        <x:v>https://iamnajib.atlassian.net/browse/ITROLL-23</x:v>
      </x:c>
      <x:c r="L27" t="n">
        <x:f>IF(ISNUMBER(SEARCH(";risk;",";"&amp;H27&amp;";")),1,0)</x:f>
        <x:v>0</x:v>
      </x:c>
    </x:row>
    <x:row r="28" ht="38" customHeight="1">
      <x:c r="A28" s="4" t="str">
        <x:v>ITROLL-24</x:v>
      </x:c>
      <x:c r="B28" s="4" t="str">
        <x:v>Story</x:v>
      </x:c>
      <x:c r="C28" s="4" t="str">
        <x:v>US-19: Restore office route through VPN</x:v>
      </x:c>
      <x:c r="D28" s="4" t="str">
        <x:v>To Do</x:v>
      </x:c>
      <x:c r="E28" s="4" t="str">
        <x:v>ITROLL-5</x:v>
      </x:c>
      <x:c r="F28" s="4" t="str">
        <x:v>BR-05</x:v>
      </x:c>
      <x:c r="G28" s="4" t="str"/>
      <x:c r="H28" s="4" t="str">
        <x:v>fictional-case-study;rollout-delivery-pack;source-us-19</x:v>
      </x:c>
      <x:c r="I28" s="4" t="str"/>
      <x:c r="J28" s="4" t="str">
        <x:v>2026-10-22T20:39:44.371+1100</x:v>
      </x:c>
      <x:c r="K28" s="4" t="str">
        <x:v>https://iamnajib.atlassian.net/browse/ITROLL-24</x:v>
      </x:c>
      <x:c r="L28" t="n">
        <x:f>IF(ISNUMBER(SEARCH(";risk;",";"&amp;H28&amp;";")),1,0)</x:f>
        <x:v>0</x:v>
      </x:c>
    </x:row>
    <x:row r="29" ht="38" customHeight="1">
      <x:c r="A29" s="4" t="str">
        <x:v>ITROLL-25</x:v>
      </x:c>
      <x:c r="B29" s="4" t="str">
        <x:v>Story</x:v>
      </x:c>
      <x:c r="C29" s="4" t="str">
        <x:v>US-20: Repair starter Finance access</x:v>
      </x:c>
      <x:c r="D29" s="4" t="str">
        <x:v>To Do</x:v>
      </x:c>
      <x:c r="E29" s="4" t="str">
        <x:v>ITROLL-1</x:v>
      </x:c>
      <x:c r="F29" s="4" t="str">
        <x:v>BR-03</x:v>
      </x:c>
      <x:c r="G29" s="4" t="str"/>
      <x:c r="H29" s="4" t="str">
        <x:v>fictional-case-study;rollout-delivery-pack;source-us-20</x:v>
      </x:c>
      <x:c r="I29" s="4" t="str"/>
      <x:c r="J29" s="4" t="str">
        <x:v>2026-10-22T20:39:45.302+1100</x:v>
      </x:c>
      <x:c r="K29" s="4" t="str">
        <x:v>https://iamnajib.atlassian.net/browse/ITROLL-25</x:v>
      </x:c>
      <x:c r="L29" t="n">
        <x:f>IF(ISNUMBER(SEARCH(";risk;",";"&amp;H29&amp;";")),1,0)</x:f>
        <x:v>0</x:v>
      </x:c>
    </x:row>
    <x:row r="30" ht="38" customHeight="1">
      <x:c r="A30" s="4" t="str">
        <x:v>ITROLL-26</x:v>
      </x:c>
      <x:c r="B30" s="4" t="str">
        <x:v>Story</x:v>
      </x:c>
      <x:c r="C30" s="4" t="str">
        <x:v>US-21: Recover paused queues</x:v>
      </x:c>
      <x:c r="D30" s="4" t="str">
        <x:v>To Do</x:v>
      </x:c>
      <x:c r="E30" s="4" t="str">
        <x:v>ITROLL-4</x:v>
      </x:c>
      <x:c r="F30" s="4" t="str">
        <x:v>BR-04</x:v>
      </x:c>
      <x:c r="G30" s="4" t="str"/>
      <x:c r="H30" s="4" t="str">
        <x:v>fictional-case-study;rollout-delivery-pack;source-us-21</x:v>
      </x:c>
      <x:c r="I30" s="4" t="str"/>
      <x:c r="J30" s="4" t="str">
        <x:v>2026-10-22T20:39:46.185+1100</x:v>
      </x:c>
      <x:c r="K30" s="4" t="str">
        <x:v>https://iamnajib.atlassian.net/browse/ITROLL-26</x:v>
      </x:c>
      <x:c r="L30" t="n">
        <x:f>IF(ISNUMBER(SEARCH(";risk;",";"&amp;H30&amp;";")),1,0)</x:f>
        <x:v>0</x:v>
      </x:c>
    </x:row>
    <x:row r="31" ht="38" customHeight="1">
      <x:c r="A31" s="4" t="str">
        <x:v>ITROLL-27</x:v>
      </x:c>
      <x:c r="B31" s="4" t="str">
        <x:v>Story</x:v>
      </x:c>
      <x:c r="C31" s="4" t="str">
        <x:v>US-22: Respond on monitoring console</x:v>
      </x:c>
      <x:c r="D31" s="4" t="str">
        <x:v>To Do</x:v>
      </x:c>
      <x:c r="E31" s="4" t="str">
        <x:v>ITROLL-3</x:v>
      </x:c>
      <x:c r="F31" s="4" t="str">
        <x:v>BR-06</x:v>
      </x:c>
      <x:c r="G31" s="4" t="str"/>
      <x:c r="H31" s="4" t="str">
        <x:v>fictional-case-study;rollout-delivery-pack;source-us-22</x:v>
      </x:c>
      <x:c r="I31" s="4" t="str"/>
      <x:c r="J31" s="4" t="str">
        <x:v>2026-10-22T20:39:47.033+1100</x:v>
      </x:c>
      <x:c r="K31" s="4" t="str">
        <x:v>https://iamnajib.atlassian.net/browse/ITROLL-27</x:v>
      </x:c>
      <x:c r="L31" t="n">
        <x:f>IF(ISNUMBER(SEARCH(";risk;",";"&amp;H31&amp;";")),1,0)</x:f>
        <x:v>0</x:v>
      </x:c>
    </x:row>
    <x:row r="32" ht="38" customHeight="1">
      <x:c r="A32" s="4" t="str">
        <x:v>ITROLL-28</x:v>
      </x:c>
      <x:c r="B32" s="4" t="str">
        <x:v>Story</x:v>
      </x:c>
      <x:c r="C32" s="4" t="str">
        <x:v>US-23: Show six monitors UP</x:v>
      </x:c>
      <x:c r="D32" s="4" t="str">
        <x:v>To Do</x:v>
      </x:c>
      <x:c r="E32" s="4" t="str">
        <x:v>ITROLL-3</x:v>
      </x:c>
      <x:c r="F32" s="4" t="str">
        <x:v>BR-06</x:v>
      </x:c>
      <x:c r="G32" s="4" t="str"/>
      <x:c r="H32" s="4" t="str">
        <x:v>fictional-case-study;rollout-delivery-pack;source-us-23</x:v>
      </x:c>
      <x:c r="I32" s="4" t="str"/>
      <x:c r="J32" s="4" t="str">
        <x:v>2026-10-22T20:39:47.943+1100</x:v>
      </x:c>
      <x:c r="K32" s="4" t="str">
        <x:v>https://iamnajib.atlassian.net/browse/ITROLL-28</x:v>
      </x:c>
      <x:c r="L32" t="n">
        <x:f>IF(ISNUMBER(SEARCH(";risk;",";"&amp;H32&amp;";")),1,0)</x:f>
        <x:v>0</x:v>
      </x:c>
    </x:row>
    <x:row r="33" ht="38" customHeight="1">
      <x:c r="A33" s="4" t="str">
        <x:v>ITROLL-29</x:v>
      </x:c>
      <x:c r="B33" s="4" t="str">
        <x:v>Story</x:v>
      </x:c>
      <x:c r="C33" s="4" t="str">
        <x:v>US-24: Open office dashboard</x:v>
      </x:c>
      <x:c r="D33" s="4" t="str">
        <x:v>To Do</x:v>
      </x:c>
      <x:c r="E33" s="4" t="str">
        <x:v>ITROLL-3</x:v>
      </x:c>
      <x:c r="F33" s="4" t="str">
        <x:v>BR-06</x:v>
      </x:c>
      <x:c r="G33" s="4" t="str"/>
      <x:c r="H33" s="4" t="str">
        <x:v>fictional-case-study;rollout-delivery-pack;source-us-24</x:v>
      </x:c>
      <x:c r="I33" s="4" t="str"/>
      <x:c r="J33" s="4" t="str">
        <x:v>2026-10-22T20:39:48.777+1100</x:v>
      </x:c>
      <x:c r="K33" s="4" t="str">
        <x:v>https://iamnajib.atlassian.net/browse/ITROLL-29</x:v>
      </x:c>
      <x:c r="L33" t="n">
        <x:f>IF(ISNUMBER(SEARCH(";risk;",";"&amp;H33&amp;";")),1,0)</x:f>
        <x:v>0</x:v>
      </x:c>
    </x:row>
    <x:row r="34" ht="38" customHeight="1">
      <x:c r="A34" s="4" t="str">
        <x:v>ITROLL-30</x:v>
      </x:c>
      <x:c r="B34" s="4" t="str">
        <x:v>Story</x:v>
      </x:c>
      <x:c r="C34" s="4" t="str">
        <x:v>US-25: Clean up temporary test accounts</x:v>
      </x:c>
      <x:c r="D34" s="4" t="str">
        <x:v>To Do</x:v>
      </x:c>
      <x:c r="E34" s="4" t="str">
        <x:v>ITROLL-2</x:v>
      </x:c>
      <x:c r="F34" s="4" t="str">
        <x:v>BR-07</x:v>
      </x:c>
      <x:c r="G34" s="4" t="str"/>
      <x:c r="H34" s="4" t="str">
        <x:v>fictional-case-study;rollout-delivery-pack;source-us-25</x:v>
      </x:c>
      <x:c r="I34" s="4" t="str"/>
      <x:c r="J34" s="4" t="str">
        <x:v>2026-10-22T20:39:49.753+1100</x:v>
      </x:c>
      <x:c r="K34" s="4" t="str">
        <x:v>https://iamnajib.atlassian.net/browse/ITROLL-30</x:v>
      </x:c>
      <x:c r="L34" t="n">
        <x:f>IF(ISNUMBER(SEARCH(";risk;",";"&amp;H34&amp;";")),1,0)</x:f>
        <x:v>0</x:v>
      </x:c>
    </x:row>
    <x:row r="35" ht="38" customHeight="1">
      <x:c r="A35" s="4" t="str">
        <x:v>ITROLL-31</x:v>
      </x:c>
      <x:c r="B35" s="4" t="str">
        <x:v>Task</x:v>
      </x:c>
      <x:c r="C35" s="4" t="str">
        <x:v>R-01: AD disable leaves SMB/VPN active</x:v>
      </x:c>
      <x:c r="D35" s="4" t="str">
        <x:v>To Do</x:v>
      </x:c>
      <x:c r="E35" s="4" t="str"/>
      <x:c r="F35" s="4" t="str"/>
      <x:c r="G35" s="4" t="str">
        <x:v>High</x:v>
      </x:c>
      <x:c r="H35" s="4" t="str">
        <x:v>fictional-case-study;raid;risk;rollout-delivery-pack;source-r-01;source-status-open</x:v>
      </x:c>
      <x:c r="I35" s="4" t="str"/>
      <x:c r="J35" s="4" t="str">
        <x:v>2026-10-22T20:39:50.549+1100</x:v>
      </x:c>
      <x:c r="K35" s="4" t="str">
        <x:v>https://iamnajib.atlassian.net/browse/ITROLL-31</x:v>
      </x:c>
      <x:c r="L35" t="n">
        <x:f>IF(ISNUMBER(SEARCH(";risk;",";"&amp;H35&amp;";")),1,0)</x:f>
        <x:v>1</x:v>
      </x:c>
    </x:row>
    <x:row r="36" ht="38" customHeight="1">
      <x:c r="A36" s="4" t="str">
        <x:v>ITROLL-32</x:v>
      </x:c>
      <x:c r="B36" s="4" t="str">
        <x:v>Task</x:v>
      </x:c>
      <x:c r="C36" s="4" t="str">
        <x:v>R-02: Single host failure stops office</x:v>
      </x:c>
      <x:c r="D36" s="4" t="str">
        <x:v>To Do</x:v>
      </x:c>
      <x:c r="E36" s="4" t="str"/>
      <x:c r="F36" s="4" t="str"/>
      <x:c r="G36" s="4" t="str">
        <x:v>High</x:v>
      </x:c>
      <x:c r="H36" s="4" t="str">
        <x:v>fictional-case-study;raid;risk;rollout-delivery-pack;source-r-02;source-status-open</x:v>
      </x:c>
      <x:c r="I36" s="4" t="str"/>
      <x:c r="J36" s="4" t="str">
        <x:v>2026-10-22T20:39:51.598+1100</x:v>
      </x:c>
      <x:c r="K36" s="4" t="str">
        <x:v>https://iamnajib.atlassian.net/browse/ITROLL-32</x:v>
      </x:c>
      <x:c r="L36" t="n">
        <x:f>IF(ISNUMBER(SEARCH(";risk;",";"&amp;H36&amp;";")),1,0)</x:f>
        <x:v>1</x:v>
      </x:c>
    </x:row>
    <x:row r="37" ht="38" customHeight="1">
      <x:c r="A37" s="4" t="str">
        <x:v>ITROLL-33</x:v>
      </x:c>
      <x:c r="B37" s="4" t="str">
        <x:v>Task</x:v>
      </x:c>
      <x:c r="C37" s="4" t="str">
        <x:v>R-03: HTTP availability masks print failure</x:v>
      </x:c>
      <x:c r="D37" s="4" t="str">
        <x:v>To Do</x:v>
      </x:c>
      <x:c r="E37" s="4" t="str"/>
      <x:c r="F37" s="4" t="str"/>
      <x:c r="G37" s="4" t="str">
        <x:v>Medium</x:v>
      </x:c>
      <x:c r="H37" s="4" t="str">
        <x:v>fictional-case-study;raid;risk;rollout-delivery-pack;source-r-03;source-status-mitigated-in-lab</x:v>
      </x:c>
      <x:c r="I37" s="4" t="str"/>
      <x:c r="J37" s="4" t="str">
        <x:v>2026-10-22T21:03:39.683+1100</x:v>
      </x:c>
      <x:c r="K37" s="4" t="str">
        <x:v>https://iamnajib.atlassian.net/browse/ITROLL-33</x:v>
      </x:c>
      <x:c r="L37" t="n">
        <x:f>IF(ISNUMBER(SEARCH(";risk;",";"&amp;H37&amp;";")),1,0)</x:f>
        <x:v>1</x:v>
      </x:c>
    </x:row>
    <x:row r="38" ht="38" customHeight="1">
      <x:c r="A38" s="4" t="str">
        <x:v>ITROLL-34</x:v>
      </x:c>
      <x:c r="B38" s="4" t="str">
        <x:v>Task</x:v>
      </x:c>
      <x:c r="C38" s="4" t="str">
        <x:v>R-04: Public exposure without hardening</x:v>
      </x:c>
      <x:c r="D38" s="4" t="str">
        <x:v>To Do</x:v>
      </x:c>
      <x:c r="E38" s="4" t="str"/>
      <x:c r="F38" s="4" t="str"/>
      <x:c r="G38" s="4" t="str">
        <x:v>High</x:v>
      </x:c>
      <x:c r="H38" s="4" t="str">
        <x:v>fictional-case-study;raid;risk;rollout-delivery-pack;source-r-04;source-status-open</x:v>
      </x:c>
      <x:c r="I38" s="4" t="str"/>
      <x:c r="J38" s="4" t="str">
        <x:v>2026-10-22T20:39:53.021+1100</x:v>
      </x:c>
      <x:c r="K38" s="4" t="str">
        <x:v>https://iamnajib.atlassian.net/browse/ITROLL-34</x:v>
      </x:c>
      <x:c r="L38" t="n">
        <x:f>IF(ISNUMBER(SEARCH(";risk;",";"&amp;H38&amp;";")),1,0)</x:f>
        <x:v>1</x:v>
      </x:c>
    </x:row>
    <x:row r="39" ht="38" customHeight="1">
      <x:c r="A39" s="4" t="str">
        <x:v>ITROLL-35</x:v>
      </x:c>
      <x:c r="B39" s="4" t="str">
        <x:v>Task</x:v>
      </x:c>
      <x:c r="C39" s="4" t="str">
        <x:v>A-01: 15 staff need new endpoints</x:v>
      </x:c>
      <x:c r="D39" s="4" t="str">
        <x:v>To Do</x:v>
      </x:c>
      <x:c r="E39" s="4" t="str"/>
      <x:c r="F39" s="4" t="str"/>
      <x:c r="G39" s="4" t="str">
        <x:v>Medium</x:v>
      </x:c>
      <x:c r="H39" s="4" t="str">
        <x:v>assumption;fictional-case-study;raid;rollout-delivery-pack;source-a-01;source-status-unvalidated</x:v>
      </x:c>
      <x:c r="I39" s="4" t="str"/>
      <x:c r="J39" s="4" t="str">
        <x:v>2026-10-22T20:39:53.876+1100</x:v>
      </x:c>
      <x:c r="K39" s="4" t="str">
        <x:v>https://iamnajib.atlassian.net/browse/ITROLL-35</x:v>
      </x:c>
      <x:c r="L39" t="n">
        <x:f>IF(ISNUMBER(SEARCH(";risk;",";"&amp;H39&amp;";")),1,0)</x:f>
        <x:v>0</x:v>
      </x:c>
    </x:row>
    <x:row r="40" ht="38" customHeight="1">
      <x:c r="A40" s="4" t="str">
        <x:v>ITROLL-36</x:v>
      </x:c>
      <x:c r="B40" s="4" t="str">
        <x:v>Task</x:v>
      </x:c>
      <x:c r="C40" s="4" t="str">
        <x:v>A-02: Hardware available for pilot</x:v>
      </x:c>
      <x:c r="D40" s="4" t="str">
        <x:v>To Do</x:v>
      </x:c>
      <x:c r="E40" s="4" t="str"/>
      <x:c r="F40" s="4" t="str"/>
      <x:c r="G40" s="4" t="str">
        <x:v>Medium</x:v>
      </x:c>
      <x:c r="H40" s="4" t="str">
        <x:v>assumption;fictional-case-study;raid;rollout-delivery-pack;source-a-02;source-status-unvalidated</x:v>
      </x:c>
      <x:c r="I40" s="4" t="str"/>
      <x:c r="J40" s="4" t="str">
        <x:v>2026-10-22T20:39:54.637+1100</x:v>
      </x:c>
      <x:c r="K40" s="4" t="str">
        <x:v>https://iamnajib.atlassian.net/browse/ITROLL-36</x:v>
      </x:c>
      <x:c r="L40" t="n">
        <x:f>IF(ISNUMBER(SEARCH(";risk;",";"&amp;H40&amp;";")),1,0)</x:f>
        <x:v>0</x:v>
      </x:c>
    </x:row>
    <x:row r="41" ht="38" customHeight="1">
      <x:c r="A41" s="4" t="str">
        <x:v>ITROLL-37</x:v>
      </x:c>
      <x:c r="B41" s="4" t="str">
        <x:v>Task</x:v>
      </x:c>
      <x:c r="C41" s="4" t="str">
        <x:v>I-01: No physical printer output evidence</x:v>
      </x:c>
      <x:c r="D41" s="4" t="str">
        <x:v>To Do</x:v>
      </x:c>
      <x:c r="E41" s="4" t="str"/>
      <x:c r="F41" s="4" t="str"/>
      <x:c r="G41" s="4" t="str">
        <x:v>High</x:v>
      </x:c>
      <x:c r="H41" s="4" t="str">
        <x:v>fictional-case-study;issue;raid;rollout-delivery-pack;source-i-01;source-status-open</x:v>
      </x:c>
      <x:c r="I41" s="4" t="str"/>
      <x:c r="J41" s="4" t="str">
        <x:v>2026-10-22T20:39:55.464+1100</x:v>
      </x:c>
      <x:c r="K41" s="4" t="str">
        <x:v>https://iamnajib.atlassian.net/browse/ITROLL-37</x:v>
      </x:c>
      <x:c r="L41" t="n">
        <x:f>IF(ISNUMBER(SEARCH(";risk;",";"&amp;H41&amp;";")),1,0)</x:f>
        <x:v>0</x:v>
      </x:c>
    </x:row>
    <x:row r="42" ht="38" customHeight="1">
      <x:c r="A42" s="4" t="str">
        <x:v>ITROLL-38</x:v>
      </x:c>
      <x:c r="B42" s="4" t="str">
        <x:v>Task</x:v>
      </x:c>
      <x:c r="C42" s="4" t="str">
        <x:v>I-02: No 15-person UAT / capacity run</x:v>
      </x:c>
      <x:c r="D42" s="4" t="str">
        <x:v>To Do</x:v>
      </x:c>
      <x:c r="E42" s="4" t="str"/>
      <x:c r="F42" s="4" t="str"/>
      <x:c r="G42" s="4" t="str">
        <x:v>High</x:v>
      </x:c>
      <x:c r="H42" s="4" t="str">
        <x:v>fictional-case-study;issue;raid;rollout-delivery-pack;source-i-02;source-status-open</x:v>
      </x:c>
      <x:c r="I42" s="4" t="str"/>
      <x:c r="J42" s="4" t="str">
        <x:v>2026-10-22T20:39:56.420+1100</x:v>
      </x:c>
      <x:c r="K42" s="4" t="str">
        <x:v>https://iamnajib.atlassian.net/browse/ITROLL-38</x:v>
      </x:c>
      <x:c r="L42" t="n">
        <x:f>IF(ISNUMBER(SEARCH(";risk;",";"&amp;H42&amp;";")),1,0)</x:f>
        <x:v>0</x:v>
      </x:c>
    </x:row>
    <x:row r="43" ht="38" customHeight="1">
      <x:c r="A43" s="4" t="str">
        <x:v>ITROLL-39</x:v>
      </x:c>
      <x:c r="B43" s="4" t="str">
        <x:v>Task</x:v>
      </x:c>
      <x:c r="C43" s="4" t="str">
        <x:v>I-03: No scheduled backup / restore result</x:v>
      </x:c>
      <x:c r="D43" s="4" t="str">
        <x:v>To Do</x:v>
      </x:c>
      <x:c r="E43" s="4" t="str"/>
      <x:c r="F43" s="4" t="str"/>
      <x:c r="G43" s="4" t="str">
        <x:v>High</x:v>
      </x:c>
      <x:c r="H43" s="4" t="str">
        <x:v>fictional-case-study;issue;raid;rollout-delivery-pack;source-i-03;source-status-open</x:v>
      </x:c>
      <x:c r="I43" s="4" t="str"/>
      <x:c r="J43" s="4" t="str">
        <x:v>2026-10-22T20:39:57.253+1100</x:v>
      </x:c>
      <x:c r="K43" s="4" t="str">
        <x:v>https://iamnajib.atlassian.net/browse/ITROLL-39</x:v>
      </x:c>
      <x:c r="L43" t="n">
        <x:f>IF(ISNUMBER(SEARCH(";risk;",";"&amp;H43&amp;";")),1,0)</x:f>
        <x:v>0</x:v>
      </x:c>
    </x:row>
    <x:row r="44" ht="38" customHeight="1">
      <x:c r="A44" s="4" t="str">
        <x:v>ITROLL-40</x:v>
      </x:c>
      <x:c r="B44" s="4" t="str">
        <x:v>Task</x:v>
      </x:c>
      <x:c r="C44" s="4" t="str">
        <x:v>D-01: Real access-model approvals</x:v>
      </x:c>
      <x:c r="D44" s="4" t="str">
        <x:v>To Do</x:v>
      </x:c>
      <x:c r="E44" s="4" t="str"/>
      <x:c r="F44" s="4" t="str"/>
      <x:c r="G44" s="4" t="str">
        <x:v>High</x:v>
      </x:c>
      <x:c r="H44" s="4" t="str">
        <x:v>dependency;fictional-case-study;raid;rollout-delivery-pack;source-d-01;source-status-pending</x:v>
      </x:c>
      <x:c r="I44" s="4" t="str"/>
      <x:c r="J44" s="4" t="str">
        <x:v>2026-10-22T20:39:58.078+1100</x:v>
      </x:c>
      <x:c r="K44" s="4" t="str">
        <x:v>https://iamnajib.atlassian.net/browse/ITROLL-40</x:v>
      </x:c>
      <x:c r="L44" t="n">
        <x:f>IF(ISNUMBER(SEARCH(";risk;",";"&amp;H44&amp;";")),1,0)</x:f>
        <x:v>0</x:v>
      </x:c>
    </x:row>
    <x:row r="45" ht="38" customHeight="1">
      <x:c r="A45" s="4" t="str">
        <x:v>ITROLL-41</x:v>
      </x:c>
      <x:c r="B45" s="4" t="str">
        <x:v>Task</x:v>
      </x:c>
      <x:c r="C45" s="4" t="str">
        <x:v>D-02: Windows Docker / Python for lab rerun</x:v>
      </x:c>
      <x:c r="D45" s="4" t="str">
        <x:v>To Do</x:v>
      </x:c>
      <x:c r="E45" s="4" t="str"/>
      <x:c r="F45" s="4" t="str"/>
      <x:c r="G45" s="4" t="str">
        <x:v>Medium</x:v>
      </x:c>
      <x:c r="H45" s="4" t="str">
        <x:v>dependency;fictional-case-study;raid;rollout-delivery-pack;source-d-02;source-status-historical-environment-confirmed</x:v>
      </x:c>
      <x:c r="I45" s="4" t="str"/>
      <x:c r="J45" s="4" t="str">
        <x:v>2026-10-22T20:39:58.826+1100</x:v>
      </x:c>
      <x:c r="K45" s="4" t="str">
        <x:v>https://iamnajib.atlassian.net/browse/ITROLL-41</x:v>
      </x:c>
      <x:c r="L45" t="n">
        <x:f>IF(ISNUMBER(SEARCH(";risk;",";"&amp;H45&amp;";")),1,0)</x:f>
        <x:v>0</x:v>
      </x:c>
    </x:row>
    <x:row r="46" ht="38" customHeight="1">
      <x:c r="A46" s="4" t="str">
        <x:v>ITROLL-42</x:v>
      </x:c>
      <x:c r="B46" s="4" t="str">
        <x:v>Task</x:v>
      </x:c>
      <x:c r="C46" s="4" t="str">
        <x:v>D-03: Persistent Samba provisioning</x:v>
      </x:c>
      <x:c r="D46" s="4" t="str">
        <x:v>To Do</x:v>
      </x:c>
      <x:c r="E46" s="4" t="str"/>
      <x:c r="F46" s="4" t="str"/>
      <x:c r="G46" s="4" t="str">
        <x:v>High</x:v>
      </x:c>
      <x:c r="H46" s="4" t="str">
        <x:v>dependency;fictional-case-study;raid;rollout-delivery-pack;source-d-03;source-status-pending</x:v>
      </x:c>
      <x:c r="I46" s="4" t="str"/>
      <x:c r="J46" s="4" t="str">
        <x:v>2026-10-22T20:39:59.685+1100</x:v>
      </x:c>
      <x:c r="K46" s="4" t="str">
        <x:v>https://iamnajib.atlassian.net/browse/ITROLL-42</x:v>
      </x:c>
      <x:c r="L46" t="n">
        <x:f>IF(ISNUMBER(SEARCH(";risk;",";"&amp;H46&amp;";")),1,0)</x:f>
        <x:v>0</x:v>
      </x:c>
    </x:row>
    <x:row r="47" ht="38" customHeight="1">
      <x:c r="A47" s="4" t="str">
        <x:v>ITROLL-43</x:v>
      </x:c>
      <x:c r="B47" s="4" t="str">
        <x:v>Task</x:v>
      </x:c>
      <x:c r="C47" s="4" t="str">
        <x:v>CR-001: prove printing beyond HTTP</x:v>
      </x:c>
      <x:c r="D47" s="4" t="str">
        <x:v>To Do</x:v>
      </x:c>
      <x:c r="E47" s="4" t="str"/>
      <x:c r="F47" s="4" t="str"/>
      <x:c r="G47" s="4" t="str"/>
      <x:c r="H47" s="4" t="str">
        <x:v>change-request;fictional-case-study;rollout-delivery-pack;source-cr-001</x:v>
      </x:c>
      <x:c r="I47" s="4" t="str"/>
      <x:c r="J47" s="4" t="str">
        <x:v>2026-10-22T20:40:00.482+1100</x:v>
      </x:c>
      <x:c r="K47" s="4" t="str">
        <x:v>https://iamnajib.atlassian.net/browse/ITROLL-43</x:v>
      </x:c>
      <x:c r="L47" t="n">
        <x:f>IF(ISNUMBER(SEARCH(";risk;",";"&amp;H47&amp;";")),1,0)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5536d34e97452a"/>
  </x:tableParts>
</x:worksheet>
</file>